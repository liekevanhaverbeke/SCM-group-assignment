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emilevanderlinden/Documents/Documenten - MacBook Pro van Emile/Unief/Master/M1_SEM2/Supply Chain Management/Supply Chain management_Code/Group Assignment/"/>
    </mc:Choice>
  </mc:AlternateContent>
  <xr:revisionPtr revIDLastSave="0" documentId="13_ncr:1_{A3253B9C-1815-DD4D-8B86-3F94A68E764D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3" i="1"/>
  <c r="F29" i="1"/>
  <c r="F35" i="1"/>
  <c r="F15" i="1"/>
  <c r="F22" i="1"/>
  <c r="F23" i="1"/>
  <c r="F24" i="1"/>
  <c r="F16" i="1"/>
  <c r="F6" i="1"/>
  <c r="F4" i="1"/>
  <c r="F8" i="1"/>
  <c r="F9" i="1"/>
  <c r="F12" i="1"/>
  <c r="F13" i="1"/>
  <c r="F14" i="1"/>
  <c r="F20" i="1"/>
  <c r="F11" i="1"/>
  <c r="F26" i="1"/>
  <c r="F40" i="1"/>
  <c r="F41" i="1"/>
  <c r="F43" i="1"/>
  <c r="F38" i="1"/>
  <c r="F27" i="1"/>
  <c r="F34" i="1"/>
  <c r="F28" i="1"/>
  <c r="F36" i="1"/>
  <c r="F30" i="1"/>
  <c r="F37" i="1"/>
  <c r="F17" i="1"/>
  <c r="F19" i="1"/>
  <c r="F21" i="1"/>
  <c r="F25" i="1"/>
  <c r="F18" i="1"/>
  <c r="F3" i="1"/>
  <c r="F2" i="1"/>
  <c r="F5" i="1"/>
  <c r="F7" i="1"/>
  <c r="F10" i="1"/>
  <c r="F45" i="1"/>
  <c r="F42" i="1"/>
  <c r="F44" i="1"/>
  <c r="F39" i="1"/>
  <c r="F46" i="1"/>
  <c r="F47" i="1"/>
  <c r="F49" i="1"/>
  <c r="F48" i="1"/>
  <c r="F51" i="1"/>
  <c r="F50" i="1"/>
  <c r="F31" i="1"/>
</calcChain>
</file>

<file path=xl/sharedStrings.xml><?xml version="1.0" encoding="utf-8"?>
<sst xmlns="http://schemas.openxmlformats.org/spreadsheetml/2006/main" count="156" uniqueCount="102">
  <si>
    <t>id</t>
  </si>
  <si>
    <t>name</t>
  </si>
  <si>
    <t>category</t>
  </si>
  <si>
    <t>price</t>
  </si>
  <si>
    <t>cost</t>
  </si>
  <si>
    <t>FBE5E6Q4S6</t>
  </si>
  <si>
    <t>Black sweatshirt</t>
  </si>
  <si>
    <t>Menswear</t>
  </si>
  <si>
    <t>B5K8O3NA22</t>
  </si>
  <si>
    <t>Navy sweatshirt</t>
  </si>
  <si>
    <t>I8RO5VPQIV</t>
  </si>
  <si>
    <t>Burgundy sweatshirt</t>
  </si>
  <si>
    <t>SUSBYBGRMB</t>
  </si>
  <si>
    <t>Olive sweatshirt</t>
  </si>
  <si>
    <t>DY2XGBW1QT</t>
  </si>
  <si>
    <t>Grey sweatshirt</t>
  </si>
  <si>
    <t>EC1T9WA177</t>
  </si>
  <si>
    <t>Black hoodie</t>
  </si>
  <si>
    <t>WP8ED8R8U4</t>
  </si>
  <si>
    <t>Navy hoodie</t>
  </si>
  <si>
    <t>1KZZ8PMFB1</t>
  </si>
  <si>
    <t>White zip hoodie</t>
  </si>
  <si>
    <t>8D2X9QGLQF</t>
  </si>
  <si>
    <t>Sand oversized hoodie</t>
  </si>
  <si>
    <t>WNRA980XXZ</t>
  </si>
  <si>
    <t>Blue hoodie</t>
  </si>
  <si>
    <t>QSCW4SWQBC</t>
  </si>
  <si>
    <t>White T-Shirt</t>
  </si>
  <si>
    <t>LK5NB8UR9Y</t>
  </si>
  <si>
    <t>Black T-Shirt</t>
  </si>
  <si>
    <t>1S7GY8JV18</t>
  </si>
  <si>
    <t>Navy T-Shirt</t>
  </si>
  <si>
    <t>LVTGQBBF4L</t>
  </si>
  <si>
    <t>Logo T-Shirt</t>
  </si>
  <si>
    <t>20RE1NI7XN</t>
  </si>
  <si>
    <t>Striped T-Shirt</t>
  </si>
  <si>
    <t>29NEO5JDJT</t>
  </si>
  <si>
    <t>Oxford shirt</t>
  </si>
  <si>
    <t>PQ8JXR05Z9</t>
  </si>
  <si>
    <t>Linen shirt</t>
  </si>
  <si>
    <t>83N1Y7P1Q5</t>
  </si>
  <si>
    <t>Flannel shirt</t>
  </si>
  <si>
    <t>ZOFDKNLVEN</t>
  </si>
  <si>
    <t>Polo shirt</t>
  </si>
  <si>
    <t>Q1NB6EV307</t>
  </si>
  <si>
    <t>Denim shirt</t>
  </si>
  <si>
    <t>R1GQQ0CSBL</t>
  </si>
  <si>
    <t>Chino pants</t>
  </si>
  <si>
    <t>LLP7L9LQTC</t>
  </si>
  <si>
    <t>Slim jeans</t>
  </si>
  <si>
    <t>PUZ9FHPM0L</t>
  </si>
  <si>
    <t>Relaxed jeans</t>
  </si>
  <si>
    <t>KX2DPVZSC6</t>
  </si>
  <si>
    <t>Joggers</t>
  </si>
  <si>
    <t>D9J7V1UG3B</t>
  </si>
  <si>
    <t>Shorts</t>
  </si>
  <si>
    <t>50WUQDWI2V</t>
  </si>
  <si>
    <t>Womenswear</t>
  </si>
  <si>
    <t>OK2HOMDWXP</t>
  </si>
  <si>
    <t>Cream sweatshirt</t>
  </si>
  <si>
    <t>BH075SYWYT</t>
  </si>
  <si>
    <t>Red sweatshirt</t>
  </si>
  <si>
    <t>KU65DK7JCX</t>
  </si>
  <si>
    <t>UXS9I3EAGC</t>
  </si>
  <si>
    <t>Lilac sweatshirt</t>
  </si>
  <si>
    <t>8WVHOXLVJ2</t>
  </si>
  <si>
    <t>MI29EELZW7</t>
  </si>
  <si>
    <t>Cream hoodie</t>
  </si>
  <si>
    <t>TU089AL40Z</t>
  </si>
  <si>
    <t>Ivory zip hoodie</t>
  </si>
  <si>
    <t>V11O1XZ2MQ</t>
  </si>
  <si>
    <t>Emerald oversized hoodie</t>
  </si>
  <si>
    <t>B8OG8GFQDG</t>
  </si>
  <si>
    <t>Blush hoodie</t>
  </si>
  <si>
    <t>AU6KWT18AC</t>
  </si>
  <si>
    <t>Cobalt T-Shirt</t>
  </si>
  <si>
    <t>LBQKVWQEL3</t>
  </si>
  <si>
    <t>093KT7ZK38</t>
  </si>
  <si>
    <t>Cream T-Shirt</t>
  </si>
  <si>
    <t>ZKLSKKBEKZ</t>
  </si>
  <si>
    <t>YPGT13FQ9B</t>
  </si>
  <si>
    <t>Ribbed T-Shirt</t>
  </si>
  <si>
    <t>AVGFALJGZU</t>
  </si>
  <si>
    <t>Little Black Dress</t>
  </si>
  <si>
    <t>0Z6K6Y21KR</t>
  </si>
  <si>
    <t>Wrap dress</t>
  </si>
  <si>
    <t>DVAZLH292T</t>
  </si>
  <si>
    <t>Midi dress</t>
  </si>
  <si>
    <t>UKDVICMCMI</t>
  </si>
  <si>
    <t>Summer dress</t>
  </si>
  <si>
    <t>F58Y8I60TY</t>
  </si>
  <si>
    <t>Slip dress</t>
  </si>
  <si>
    <t>ARCCMK4UZC</t>
  </si>
  <si>
    <t>Gloves</t>
  </si>
  <si>
    <t>J7DERD76U8</t>
  </si>
  <si>
    <t>Socks (2-pack)</t>
  </si>
  <si>
    <t>B5ZJF102L8</t>
  </si>
  <si>
    <t>KBG0WAZV9P</t>
  </si>
  <si>
    <t>Keychain</t>
  </si>
  <si>
    <t>KBX5F1FCPW</t>
  </si>
  <si>
    <t>Hair scrunchie</t>
  </si>
  <si>
    <t>ProfitMargin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</si>
</sst>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C885D-519D-5447-BEA3-6A9BBAE42C2D}" name="Table1" displayName="Table1" ref="A1:F52" totalsRowShown="0" headerRowDxfId="1" headerRowBorderDxfId="2" tableBorderDxfId="3">
  <autoFilter ref="A1:F52" xr:uid="{D8AC885D-519D-5447-BEA3-6A9BBAE42C2D}"/>
  <sortState xmlns:xlrd2="http://schemas.microsoft.com/office/spreadsheetml/2017/richdata2" ref="A2:F52">
    <sortCondition descending="1" ref="F1:F52"/>
  </sortState>
  <tableColumns count="6">
    <tableColumn id="1" xr3:uid="{7C2610EE-919E-5543-8D0E-215E176E33FA}" name="id"/>
    <tableColumn id="2" xr3:uid="{451C1E81-551E-4741-81ED-E1B7771ACBC4}" name="name"/>
    <tableColumn id="3" xr3:uid="{69D9F070-05AA-D248-9CE3-4A0A96522A44}" name="category"/>
    <tableColumn id="4" xr3:uid="{E68A28C0-6191-714C-92AF-EC55EA1D4BC4}" name="price"/>
    <tableColumn id="5" xr3:uid="{6D33E68E-4688-804D-B114-DF925A199643}" name="cost"/>
    <tableColumn id="6" xr3:uid="{5B6C7D9A-A6AE-1A4A-8DEC-F006B6904BD7}" name="ProfitMargin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zoomScale="143" workbookViewId="0">
      <selection activeCell="J11" sqref="J11"/>
    </sheetView>
  </sheetViews>
  <sheetFormatPr baseColWidth="10" defaultColWidth="8.83203125" defaultRowHeight="15" x14ac:dyDescent="0.2"/>
  <cols>
    <col min="3" max="3" width="9.5" customWidth="1"/>
    <col min="6" max="6" width="12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101</v>
      </c>
    </row>
    <row r="2" spans="1:6" x14ac:dyDescent="0.2">
      <c r="A2" t="s">
        <v>76</v>
      </c>
      <c r="B2" t="s">
        <v>29</v>
      </c>
      <c r="C2" t="s">
        <v>57</v>
      </c>
      <c r="D2">
        <v>39</v>
      </c>
      <c r="E2">
        <v>11</v>
      </c>
      <c r="F2" s="2">
        <f>(D2-E2)/E2</f>
        <v>2.5454545454545454</v>
      </c>
    </row>
    <row r="3" spans="1:6" x14ac:dyDescent="0.2">
      <c r="A3" t="s">
        <v>74</v>
      </c>
      <c r="B3" t="s">
        <v>75</v>
      </c>
      <c r="C3" t="s">
        <v>57</v>
      </c>
      <c r="D3">
        <v>40</v>
      </c>
      <c r="E3">
        <v>11.5</v>
      </c>
      <c r="F3" s="2">
        <f>(D3-E3)/E3</f>
        <v>2.4782608695652173</v>
      </c>
    </row>
    <row r="4" spans="1:6" x14ac:dyDescent="0.2">
      <c r="A4" t="s">
        <v>28</v>
      </c>
      <c r="B4" t="s">
        <v>29</v>
      </c>
      <c r="C4" t="s">
        <v>7</v>
      </c>
      <c r="D4">
        <v>39</v>
      </c>
      <c r="E4">
        <v>11.5</v>
      </c>
      <c r="F4" s="2">
        <f>(D4-E4)/E4</f>
        <v>2.3913043478260869</v>
      </c>
    </row>
    <row r="5" spans="1:6" x14ac:dyDescent="0.2">
      <c r="A5" t="s">
        <v>77</v>
      </c>
      <c r="B5" t="s">
        <v>78</v>
      </c>
      <c r="C5" t="s">
        <v>57</v>
      </c>
      <c r="D5">
        <v>42</v>
      </c>
      <c r="E5">
        <v>12.5</v>
      </c>
      <c r="F5" s="2">
        <f>(D5-E5)/E5</f>
        <v>2.36</v>
      </c>
    </row>
    <row r="6" spans="1:6" x14ac:dyDescent="0.2">
      <c r="A6" t="s">
        <v>26</v>
      </c>
      <c r="B6" t="s">
        <v>27</v>
      </c>
      <c r="C6" t="s">
        <v>7</v>
      </c>
      <c r="D6">
        <v>40</v>
      </c>
      <c r="E6">
        <v>12</v>
      </c>
      <c r="F6" s="2">
        <f>(D6-E6)/E6</f>
        <v>2.3333333333333335</v>
      </c>
    </row>
    <row r="7" spans="1:6" x14ac:dyDescent="0.2">
      <c r="A7" t="s">
        <v>79</v>
      </c>
      <c r="B7" t="s">
        <v>33</v>
      </c>
      <c r="C7" t="s">
        <v>57</v>
      </c>
      <c r="D7">
        <v>45</v>
      </c>
      <c r="E7">
        <v>13.5</v>
      </c>
      <c r="F7" s="2">
        <f>(D7-E7)/E7</f>
        <v>2.3333333333333335</v>
      </c>
    </row>
    <row r="8" spans="1:6" x14ac:dyDescent="0.2">
      <c r="A8" t="s">
        <v>30</v>
      </c>
      <c r="B8" t="s">
        <v>31</v>
      </c>
      <c r="C8" t="s">
        <v>7</v>
      </c>
      <c r="D8">
        <v>42</v>
      </c>
      <c r="E8">
        <v>13</v>
      </c>
      <c r="F8" s="2">
        <f>(D8-E8)/E8</f>
        <v>2.2307692307692308</v>
      </c>
    </row>
    <row r="9" spans="1:6" x14ac:dyDescent="0.2">
      <c r="A9" t="s">
        <v>32</v>
      </c>
      <c r="B9" t="s">
        <v>33</v>
      </c>
      <c r="C9" t="s">
        <v>7</v>
      </c>
      <c r="D9">
        <v>45</v>
      </c>
      <c r="E9">
        <v>14</v>
      </c>
      <c r="F9" s="2">
        <f>(D9-E9)/E9</f>
        <v>2.2142857142857144</v>
      </c>
    </row>
    <row r="10" spans="1:6" x14ac:dyDescent="0.2">
      <c r="A10" t="s">
        <v>80</v>
      </c>
      <c r="B10" t="s">
        <v>81</v>
      </c>
      <c r="C10" t="s">
        <v>57</v>
      </c>
      <c r="D10">
        <v>45</v>
      </c>
      <c r="E10">
        <v>14</v>
      </c>
      <c r="F10" s="2">
        <f>(D10-E10)/E10</f>
        <v>2.2142857142857144</v>
      </c>
    </row>
    <row r="11" spans="1:6" x14ac:dyDescent="0.2">
      <c r="A11" t="s">
        <v>42</v>
      </c>
      <c r="B11" t="s">
        <v>43</v>
      </c>
      <c r="C11" t="s">
        <v>7</v>
      </c>
      <c r="D11">
        <v>70</v>
      </c>
      <c r="E11">
        <v>22</v>
      </c>
      <c r="F11" s="2">
        <f>(D11-E11)/E11</f>
        <v>2.1818181818181817</v>
      </c>
    </row>
    <row r="12" spans="1:6" x14ac:dyDescent="0.2">
      <c r="A12" t="s">
        <v>34</v>
      </c>
      <c r="B12" t="s">
        <v>35</v>
      </c>
      <c r="C12" t="s">
        <v>7</v>
      </c>
      <c r="D12">
        <v>45</v>
      </c>
      <c r="E12">
        <v>14.5</v>
      </c>
      <c r="F12" s="2">
        <f>(D12-E12)/E12</f>
        <v>2.103448275862069</v>
      </c>
    </row>
    <row r="13" spans="1:6" x14ac:dyDescent="0.2">
      <c r="A13" t="s">
        <v>36</v>
      </c>
      <c r="B13" t="s">
        <v>37</v>
      </c>
      <c r="C13" t="s">
        <v>7</v>
      </c>
      <c r="D13">
        <v>85</v>
      </c>
      <c r="E13">
        <v>28</v>
      </c>
      <c r="F13" s="2">
        <f>(D13-E13)/E13</f>
        <v>2.0357142857142856</v>
      </c>
    </row>
    <row r="14" spans="1:6" x14ac:dyDescent="0.2">
      <c r="A14" t="s">
        <v>38</v>
      </c>
      <c r="B14" t="s">
        <v>39</v>
      </c>
      <c r="C14" t="s">
        <v>7</v>
      </c>
      <c r="D14">
        <v>95</v>
      </c>
      <c r="E14">
        <v>33</v>
      </c>
      <c r="F14" s="2">
        <f>(D14-E14)/E14</f>
        <v>1.8787878787878789</v>
      </c>
    </row>
    <row r="15" spans="1:6" x14ac:dyDescent="0.2">
      <c r="A15" t="s">
        <v>16</v>
      </c>
      <c r="B15" t="s">
        <v>17</v>
      </c>
      <c r="C15" t="s">
        <v>7</v>
      </c>
      <c r="D15">
        <v>150</v>
      </c>
      <c r="E15">
        <v>53</v>
      </c>
      <c r="F15" s="2">
        <f>(D15-E15)/E15</f>
        <v>1.8301886792452831</v>
      </c>
    </row>
    <row r="16" spans="1:6" x14ac:dyDescent="0.2">
      <c r="A16" t="s">
        <v>24</v>
      </c>
      <c r="B16" t="s">
        <v>25</v>
      </c>
      <c r="C16" t="s">
        <v>7</v>
      </c>
      <c r="D16">
        <v>150</v>
      </c>
      <c r="E16">
        <v>53</v>
      </c>
      <c r="F16" s="2">
        <f>(D16-E16)/E16</f>
        <v>1.8301886792452831</v>
      </c>
    </row>
    <row r="17" spans="1:6" x14ac:dyDescent="0.2">
      <c r="A17" t="s">
        <v>65</v>
      </c>
      <c r="B17" t="s">
        <v>17</v>
      </c>
      <c r="C17" t="s">
        <v>57</v>
      </c>
      <c r="D17">
        <v>150</v>
      </c>
      <c r="E17">
        <v>53</v>
      </c>
      <c r="F17" s="2">
        <f>(D17-E17)/E17</f>
        <v>1.8301886792452831</v>
      </c>
    </row>
    <row r="18" spans="1:6" x14ac:dyDescent="0.2">
      <c r="A18" t="s">
        <v>72</v>
      </c>
      <c r="B18" t="s">
        <v>73</v>
      </c>
      <c r="C18" t="s">
        <v>57</v>
      </c>
      <c r="D18">
        <v>150</v>
      </c>
      <c r="E18">
        <v>53</v>
      </c>
      <c r="F18" s="2">
        <f>(D18-E18)/E18</f>
        <v>1.8301886792452831</v>
      </c>
    </row>
    <row r="19" spans="1:6" x14ac:dyDescent="0.2">
      <c r="A19" t="s">
        <v>66</v>
      </c>
      <c r="B19" t="s">
        <v>67</v>
      </c>
      <c r="C19" t="s">
        <v>57</v>
      </c>
      <c r="D19">
        <v>152</v>
      </c>
      <c r="E19">
        <v>54</v>
      </c>
      <c r="F19" s="2">
        <f>(D19-E19)/E19</f>
        <v>1.8148148148148149</v>
      </c>
    </row>
    <row r="20" spans="1:6" x14ac:dyDescent="0.2">
      <c r="A20" t="s">
        <v>40</v>
      </c>
      <c r="B20" t="s">
        <v>41</v>
      </c>
      <c r="C20" t="s">
        <v>7</v>
      </c>
      <c r="D20">
        <v>90</v>
      </c>
      <c r="E20">
        <v>32</v>
      </c>
      <c r="F20" s="2">
        <f>(D20-E20)/E20</f>
        <v>1.8125</v>
      </c>
    </row>
    <row r="21" spans="1:6" x14ac:dyDescent="0.2">
      <c r="A21" t="s">
        <v>68</v>
      </c>
      <c r="B21" t="s">
        <v>69</v>
      </c>
      <c r="C21" t="s">
        <v>57</v>
      </c>
      <c r="D21">
        <v>158</v>
      </c>
      <c r="E21">
        <v>57</v>
      </c>
      <c r="F21" s="2">
        <f>(D21-E21)/E21</f>
        <v>1.7719298245614035</v>
      </c>
    </row>
    <row r="22" spans="1:6" x14ac:dyDescent="0.2">
      <c r="A22" t="s">
        <v>18</v>
      </c>
      <c r="B22" t="s">
        <v>19</v>
      </c>
      <c r="C22" t="s">
        <v>7</v>
      </c>
      <c r="D22">
        <v>155</v>
      </c>
      <c r="E22">
        <v>56</v>
      </c>
      <c r="F22" s="2">
        <f>(D22-E22)/E22</f>
        <v>1.7678571428571428</v>
      </c>
    </row>
    <row r="23" spans="1:6" x14ac:dyDescent="0.2">
      <c r="A23" t="s">
        <v>20</v>
      </c>
      <c r="B23" t="s">
        <v>21</v>
      </c>
      <c r="C23" t="s">
        <v>7</v>
      </c>
      <c r="D23">
        <v>160</v>
      </c>
      <c r="E23">
        <v>58</v>
      </c>
      <c r="F23" s="2">
        <f>(D23-E23)/E23</f>
        <v>1.7586206896551724</v>
      </c>
    </row>
    <row r="24" spans="1:6" x14ac:dyDescent="0.2">
      <c r="A24" t="s">
        <v>22</v>
      </c>
      <c r="B24" t="s">
        <v>23</v>
      </c>
      <c r="C24" t="s">
        <v>7</v>
      </c>
      <c r="D24">
        <v>165</v>
      </c>
      <c r="E24">
        <v>60</v>
      </c>
      <c r="F24" s="2">
        <f>(D24-E24)/E24</f>
        <v>1.75</v>
      </c>
    </row>
    <row r="25" spans="1:6" x14ac:dyDescent="0.2">
      <c r="A25" t="s">
        <v>70</v>
      </c>
      <c r="B25" t="s">
        <v>71</v>
      </c>
      <c r="C25" t="s">
        <v>57</v>
      </c>
      <c r="D25">
        <v>165</v>
      </c>
      <c r="E25">
        <v>60</v>
      </c>
      <c r="F25" s="2">
        <f>(D25-E25)/E25</f>
        <v>1.75</v>
      </c>
    </row>
    <row r="26" spans="1:6" x14ac:dyDescent="0.2">
      <c r="A26" t="s">
        <v>44</v>
      </c>
      <c r="B26" t="s">
        <v>45</v>
      </c>
      <c r="C26" t="s">
        <v>7</v>
      </c>
      <c r="D26">
        <v>95</v>
      </c>
      <c r="E26">
        <v>35</v>
      </c>
      <c r="F26" s="2">
        <f>(D26-E26)/E26</f>
        <v>1.7142857142857142</v>
      </c>
    </row>
    <row r="27" spans="1:6" x14ac:dyDescent="0.2">
      <c r="A27" t="s">
        <v>54</v>
      </c>
      <c r="B27" t="s">
        <v>55</v>
      </c>
      <c r="C27" t="s">
        <v>7</v>
      </c>
      <c r="D27">
        <v>75</v>
      </c>
      <c r="E27">
        <v>28</v>
      </c>
      <c r="F27" s="2">
        <f>(D27-E27)/E27</f>
        <v>1.6785714285714286</v>
      </c>
    </row>
    <row r="28" spans="1:6" x14ac:dyDescent="0.2">
      <c r="A28" t="s">
        <v>58</v>
      </c>
      <c r="B28" t="s">
        <v>59</v>
      </c>
      <c r="C28" t="s">
        <v>57</v>
      </c>
      <c r="D28">
        <v>118</v>
      </c>
      <c r="E28">
        <v>46</v>
      </c>
      <c r="F28" s="2">
        <f>(D28-E28)/E28</f>
        <v>1.5652173913043479</v>
      </c>
    </row>
    <row r="29" spans="1:6" x14ac:dyDescent="0.2">
      <c r="A29" t="s">
        <v>12</v>
      </c>
      <c r="B29" t="s">
        <v>13</v>
      </c>
      <c r="C29" t="s">
        <v>7</v>
      </c>
      <c r="D29">
        <v>115</v>
      </c>
      <c r="E29">
        <v>45</v>
      </c>
      <c r="F29" s="2">
        <f>(D29-E29)/E29</f>
        <v>1.5555555555555556</v>
      </c>
    </row>
    <row r="30" spans="1:6" x14ac:dyDescent="0.2">
      <c r="A30" t="s">
        <v>62</v>
      </c>
      <c r="B30" t="s">
        <v>9</v>
      </c>
      <c r="C30" t="s">
        <v>57</v>
      </c>
      <c r="D30">
        <v>115</v>
      </c>
      <c r="E30">
        <v>45</v>
      </c>
      <c r="F30" s="2">
        <f>(D30-E30)/E30</f>
        <v>1.5555555555555556</v>
      </c>
    </row>
    <row r="31" spans="1:6" x14ac:dyDescent="0.2">
      <c r="A31" t="s">
        <v>5</v>
      </c>
      <c r="B31" t="s">
        <v>6</v>
      </c>
      <c r="C31" t="s">
        <v>7</v>
      </c>
      <c r="D31">
        <v>120</v>
      </c>
      <c r="E31">
        <v>47</v>
      </c>
      <c r="F31" s="2">
        <f>(D31-E31)/E31</f>
        <v>1.553191489361702</v>
      </c>
    </row>
    <row r="32" spans="1:6" x14ac:dyDescent="0.2">
      <c r="A32" t="s">
        <v>8</v>
      </c>
      <c r="B32" t="s">
        <v>9</v>
      </c>
      <c r="C32" t="s">
        <v>7</v>
      </c>
      <c r="D32">
        <v>120</v>
      </c>
      <c r="E32">
        <v>47</v>
      </c>
      <c r="F32" s="2">
        <f>(D32-E32)/E32</f>
        <v>1.553191489361702</v>
      </c>
    </row>
    <row r="33" spans="1:6" x14ac:dyDescent="0.2">
      <c r="A33" t="s">
        <v>10</v>
      </c>
      <c r="B33" t="s">
        <v>11</v>
      </c>
      <c r="C33" t="s">
        <v>7</v>
      </c>
      <c r="D33">
        <v>120</v>
      </c>
      <c r="E33">
        <v>47</v>
      </c>
      <c r="F33" s="2">
        <f>(D33-E33)/E33</f>
        <v>1.553191489361702</v>
      </c>
    </row>
    <row r="34" spans="1:6" x14ac:dyDescent="0.2">
      <c r="A34" t="s">
        <v>56</v>
      </c>
      <c r="B34" t="s">
        <v>6</v>
      </c>
      <c r="C34" t="s">
        <v>57</v>
      </c>
      <c r="D34">
        <v>120</v>
      </c>
      <c r="E34">
        <v>47</v>
      </c>
      <c r="F34" s="2">
        <f>(D34-E34)/E34</f>
        <v>1.553191489361702</v>
      </c>
    </row>
    <row r="35" spans="1:6" x14ac:dyDescent="0.2">
      <c r="A35" t="s">
        <v>14</v>
      </c>
      <c r="B35" t="s">
        <v>15</v>
      </c>
      <c r="C35" t="s">
        <v>7</v>
      </c>
      <c r="D35">
        <v>125</v>
      </c>
      <c r="E35">
        <v>49</v>
      </c>
      <c r="F35" s="2">
        <f>(D35-E35)/E35</f>
        <v>1.5510204081632653</v>
      </c>
    </row>
    <row r="36" spans="1:6" x14ac:dyDescent="0.2">
      <c r="A36" t="s">
        <v>60</v>
      </c>
      <c r="B36" t="s">
        <v>61</v>
      </c>
      <c r="C36" t="s">
        <v>57</v>
      </c>
      <c r="D36">
        <v>125</v>
      </c>
      <c r="E36">
        <v>49</v>
      </c>
      <c r="F36" s="2">
        <f>(D36-E36)/E36</f>
        <v>1.5510204081632653</v>
      </c>
    </row>
    <row r="37" spans="1:6" x14ac:dyDescent="0.2">
      <c r="A37" t="s">
        <v>63</v>
      </c>
      <c r="B37" t="s">
        <v>64</v>
      </c>
      <c r="C37" t="s">
        <v>57</v>
      </c>
      <c r="D37">
        <v>122</v>
      </c>
      <c r="E37">
        <v>48</v>
      </c>
      <c r="F37" s="2">
        <f>(D37-E37)/E37</f>
        <v>1.5416666666666667</v>
      </c>
    </row>
    <row r="38" spans="1:6" x14ac:dyDescent="0.2">
      <c r="A38" t="s">
        <v>52</v>
      </c>
      <c r="B38" t="s">
        <v>53</v>
      </c>
      <c r="C38" t="s">
        <v>7</v>
      </c>
      <c r="D38">
        <v>95</v>
      </c>
      <c r="E38">
        <v>39</v>
      </c>
      <c r="F38" s="2">
        <f>(D38-E38)/E38</f>
        <v>1.4358974358974359</v>
      </c>
    </row>
    <row r="39" spans="1:6" x14ac:dyDescent="0.2">
      <c r="A39" t="s">
        <v>88</v>
      </c>
      <c r="B39" t="s">
        <v>89</v>
      </c>
      <c r="C39" t="s">
        <v>57</v>
      </c>
      <c r="D39">
        <v>140</v>
      </c>
      <c r="E39">
        <v>58</v>
      </c>
      <c r="F39" s="2">
        <f>(D39-E39)/E39</f>
        <v>1.4137931034482758</v>
      </c>
    </row>
    <row r="40" spans="1:6" x14ac:dyDescent="0.2">
      <c r="A40" t="s">
        <v>46</v>
      </c>
      <c r="B40" t="s">
        <v>47</v>
      </c>
      <c r="C40" t="s">
        <v>7</v>
      </c>
      <c r="D40">
        <v>110</v>
      </c>
      <c r="E40">
        <v>46</v>
      </c>
      <c r="F40" s="2">
        <f>(D40-E40)/E40</f>
        <v>1.3913043478260869</v>
      </c>
    </row>
    <row r="41" spans="1:6" x14ac:dyDescent="0.2">
      <c r="A41" t="s">
        <v>48</v>
      </c>
      <c r="B41" t="s">
        <v>49</v>
      </c>
      <c r="C41" t="s">
        <v>7</v>
      </c>
      <c r="D41">
        <v>120</v>
      </c>
      <c r="E41">
        <v>52</v>
      </c>
      <c r="F41" s="2">
        <f>(D41-E41)/E41</f>
        <v>1.3076923076923077</v>
      </c>
    </row>
    <row r="42" spans="1:6" x14ac:dyDescent="0.2">
      <c r="A42" t="s">
        <v>84</v>
      </c>
      <c r="B42" t="s">
        <v>85</v>
      </c>
      <c r="C42" t="s">
        <v>57</v>
      </c>
      <c r="D42">
        <v>165</v>
      </c>
      <c r="E42">
        <v>72</v>
      </c>
      <c r="F42" s="2">
        <f>(D42-E42)/E42</f>
        <v>1.2916666666666667</v>
      </c>
    </row>
    <row r="43" spans="1:6" x14ac:dyDescent="0.2">
      <c r="A43" t="s">
        <v>50</v>
      </c>
      <c r="B43" t="s">
        <v>51</v>
      </c>
      <c r="C43" t="s">
        <v>7</v>
      </c>
      <c r="D43">
        <v>125</v>
      </c>
      <c r="E43">
        <v>55</v>
      </c>
      <c r="F43" s="2">
        <f>(D43-E43)/E43</f>
        <v>1.2727272727272727</v>
      </c>
    </row>
    <row r="44" spans="1:6" x14ac:dyDescent="0.2">
      <c r="A44" t="s">
        <v>86</v>
      </c>
      <c r="B44" t="s">
        <v>87</v>
      </c>
      <c r="C44" t="s">
        <v>57</v>
      </c>
      <c r="D44">
        <v>170</v>
      </c>
      <c r="E44">
        <v>75</v>
      </c>
      <c r="F44" s="2">
        <f>(D44-E44)/E44</f>
        <v>1.2666666666666666</v>
      </c>
    </row>
    <row r="45" spans="1:6" x14ac:dyDescent="0.2">
      <c r="A45" t="s">
        <v>82</v>
      </c>
      <c r="B45" t="s">
        <v>83</v>
      </c>
      <c r="C45" t="s">
        <v>57</v>
      </c>
      <c r="D45">
        <v>150</v>
      </c>
      <c r="E45">
        <v>67</v>
      </c>
      <c r="F45" s="2">
        <f>(D45-E45)/E45</f>
        <v>1.2388059701492538</v>
      </c>
    </row>
    <row r="46" spans="1:6" x14ac:dyDescent="0.2">
      <c r="A46" t="s">
        <v>90</v>
      </c>
      <c r="B46" t="s">
        <v>91</v>
      </c>
      <c r="C46" t="s">
        <v>57</v>
      </c>
      <c r="D46">
        <v>155</v>
      </c>
      <c r="E46">
        <v>70</v>
      </c>
      <c r="F46" s="2">
        <f>(D46-E46)/E46</f>
        <v>1.2142857142857142</v>
      </c>
    </row>
    <row r="47" spans="1:6" x14ac:dyDescent="0.2">
      <c r="A47" t="s">
        <v>92</v>
      </c>
      <c r="B47" t="s">
        <v>93</v>
      </c>
      <c r="C47" t="s">
        <v>57</v>
      </c>
      <c r="D47">
        <v>7.99</v>
      </c>
      <c r="E47">
        <v>5.99</v>
      </c>
      <c r="F47" s="2">
        <f>(D47-E47)/E47</f>
        <v>0.333889816360601</v>
      </c>
    </row>
    <row r="48" spans="1:6" x14ac:dyDescent="0.2">
      <c r="A48" t="s">
        <v>96</v>
      </c>
      <c r="B48" t="s">
        <v>95</v>
      </c>
      <c r="C48" t="s">
        <v>57</v>
      </c>
      <c r="D48">
        <v>9.49</v>
      </c>
      <c r="E48">
        <v>8.49</v>
      </c>
      <c r="F48" s="2">
        <f>(D48-E48)/E48</f>
        <v>0.11778563015312131</v>
      </c>
    </row>
    <row r="49" spans="1:6" x14ac:dyDescent="0.2">
      <c r="A49" t="s">
        <v>94</v>
      </c>
      <c r="B49" t="s">
        <v>95</v>
      </c>
      <c r="C49" t="s">
        <v>7</v>
      </c>
      <c r="D49">
        <v>9.99</v>
      </c>
      <c r="E49">
        <v>8.99</v>
      </c>
      <c r="F49" s="2">
        <f>(D49-E49)/E49</f>
        <v>0.11123470522803114</v>
      </c>
    </row>
    <row r="50" spans="1:6" x14ac:dyDescent="0.2">
      <c r="A50" t="s">
        <v>99</v>
      </c>
      <c r="B50" t="s">
        <v>100</v>
      </c>
      <c r="C50" t="s">
        <v>57</v>
      </c>
      <c r="D50">
        <v>3.99</v>
      </c>
      <c r="E50">
        <v>3.79</v>
      </c>
      <c r="F50" s="2">
        <f>(D50-E50)/E50</f>
        <v>5.2770448548812708E-2</v>
      </c>
    </row>
    <row r="51" spans="1:6" x14ac:dyDescent="0.2">
      <c r="A51" t="s">
        <v>97</v>
      </c>
      <c r="B51" t="s">
        <v>98</v>
      </c>
      <c r="C51" t="s">
        <v>7</v>
      </c>
      <c r="D51">
        <v>4.99</v>
      </c>
      <c r="E51">
        <v>4.79</v>
      </c>
      <c r="F51" s="2">
        <f>(D51-E51)/E51</f>
        <v>4.1753653444676443E-2</v>
      </c>
    </row>
    <row r="52" spans="1:6" x14ac:dyDescent="0.2">
      <c r="F52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Emile Van Der Linden</cp:lastModifiedBy>
  <dcterms:created xsi:type="dcterms:W3CDTF">2026-03-04T17:07:19Z</dcterms:created>
  <dcterms:modified xsi:type="dcterms:W3CDTF">2026-03-14T15:48:56Z</dcterms:modified>
</cp:coreProperties>
</file>